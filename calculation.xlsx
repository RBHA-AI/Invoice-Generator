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<sst xmlns="http://schemas.openxmlformats.org/spreadsheetml/2006/main" count="26" uniqueCount="21">
  <si>
    <t xml:space="preserve">s no.</t>
  </si>
  <si>
    <t xml:space="preserve">MCs Name</t>
  </si>
  <si>
    <t xml:space="preserve">Amt. quoted for core -act.</t>
  </si>
  <si>
    <t xml:space="preserve">Total value(incl. tax)</t>
  </si>
  <si>
    <t xml:space="preserve">Working</t>
  </si>
  <si>
    <t xml:space="preserve">taxable</t>
  </si>
  <si>
    <t xml:space="preserve">gst</t>
  </si>
  <si>
    <t xml:space="preserve">total</t>
  </si>
  <si>
    <t xml:space="preserve">Sonipat</t>
  </si>
  <si>
    <t xml:space="preserve">3968290*20%</t>
  </si>
  <si>
    <t xml:space="preserve">Gohana</t>
  </si>
  <si>
    <t xml:space="preserve">1854340*20%</t>
  </si>
  <si>
    <t xml:space="preserve">Bahadurgarh</t>
  </si>
  <si>
    <t xml:space="preserve">Jhajjar</t>
  </si>
  <si>
    <t xml:space="preserve">Gannaur</t>
  </si>
  <si>
    <t xml:space="preserve">1141130*20%</t>
  </si>
  <si>
    <t xml:space="preserve">Kundli</t>
  </si>
  <si>
    <t xml:space="preserve">Beri</t>
  </si>
  <si>
    <t xml:space="preserve">Kharkhoda</t>
  </si>
  <si>
    <t xml:space="preserve">Total</t>
  </si>
  <si>
    <t xml:space="preserve">calculated as per agreement 
20%of fees quoted for core- activities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</si>
</sst>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₹ &quot;#,##0.00;[RED]&quot;₹ -&quot;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12.14"/>
    <col collapsed="false" customWidth="true" hidden="false" outlineLevel="0" max="3" min="3" style="0" width="24.15"/>
    <col collapsed="false" customWidth="true" hidden="false" outlineLevel="0" max="4" min="4" style="0" width="19.28"/>
    <col collapsed="false" customWidth="true" hidden="false" outlineLevel="0" max="5" min="5" style="0" width="12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0" t="s">
        <v>5</v>
      </c>
      <c r="H1" s="0" t="s">
        <v>6</v>
      </c>
      <c r="I1" s="0" t="s">
        <v>7</v>
      </c>
    </row>
    <row r="2" customFormat="false" ht="13.8" hidden="false" customHeight="false" outlineLevel="0" collapsed="false">
      <c r="A2" s="2" t="n">
        <v>1</v>
      </c>
      <c r="B2" s="2" t="s">
        <v>8</v>
      </c>
      <c r="C2" s="2" t="n">
        <v>3968290</v>
      </c>
      <c r="D2" s="3" t="n">
        <v>793658</v>
      </c>
      <c r="E2" s="2" t="s">
        <v>9</v>
      </c>
      <c r="G2" s="0" t="n">
        <f aca="false">+D2/1.18</f>
        <v>672591.525423729</v>
      </c>
      <c r="H2" s="0" t="n">
        <f aca="false">+G2*18%</f>
        <v>121066.474576271</v>
      </c>
      <c r="I2" s="0" t="n">
        <f aca="false">+G2+H2</f>
        <v>793658</v>
      </c>
    </row>
    <row r="3" customFormat="false" ht="13.8" hidden="false" customHeight="false" outlineLevel="0" collapsed="false">
      <c r="A3" s="2" t="n">
        <v>2</v>
      </c>
      <c r="B3" s="2" t="s">
        <v>10</v>
      </c>
      <c r="C3" s="2" t="n">
        <v>1854340</v>
      </c>
      <c r="D3" s="3" t="n">
        <v>370868</v>
      </c>
      <c r="E3" s="2" t="s">
        <v>11</v>
      </c>
      <c r="G3" s="0" t="n">
        <f aca="false">+D3/1.18</f>
        <v>314294.915254237</v>
      </c>
      <c r="H3" s="0" t="n">
        <f aca="false">+G3*18%</f>
        <v>56573.0847457627</v>
      </c>
      <c r="I3" s="0" t="n">
        <f aca="false">+G3+H3</f>
        <v>370868</v>
      </c>
    </row>
    <row r="4" customFormat="false" ht="13.8" hidden="false" customHeight="false" outlineLevel="0" collapsed="false">
      <c r="A4" s="2" t="n">
        <v>3</v>
      </c>
      <c r="B4" s="2" t="s">
        <v>12</v>
      </c>
      <c r="C4" s="2" t="n">
        <v>1854340</v>
      </c>
      <c r="D4" s="3" t="n">
        <v>370868</v>
      </c>
      <c r="E4" s="2" t="s">
        <v>11</v>
      </c>
      <c r="G4" s="0" t="n">
        <f aca="false">+D4/1.18</f>
        <v>314294.915254237</v>
      </c>
      <c r="H4" s="0" t="n">
        <f aca="false">+G4*18%</f>
        <v>56573.0847457627</v>
      </c>
      <c r="I4" s="0" t="n">
        <f aca="false">+G4+H4</f>
        <v>370868</v>
      </c>
    </row>
    <row r="5" customFormat="false" ht="13.8" hidden="false" customHeight="false" outlineLevel="0" collapsed="false">
      <c r="A5" s="2" t="n">
        <v>4</v>
      </c>
      <c r="B5" s="2" t="s">
        <v>13</v>
      </c>
      <c r="C5" s="2" t="n">
        <v>1854340</v>
      </c>
      <c r="D5" s="3" t="n">
        <v>370868</v>
      </c>
      <c r="E5" s="2" t="s">
        <v>11</v>
      </c>
      <c r="G5" s="0" t="n">
        <f aca="false">+D5/1.18</f>
        <v>314294.915254237</v>
      </c>
      <c r="H5" s="0" t="n">
        <f aca="false">+G5*18%</f>
        <v>56573.0847457627</v>
      </c>
      <c r="I5" s="0" t="n">
        <f aca="false">+G5+H5</f>
        <v>370868</v>
      </c>
    </row>
    <row r="6" customFormat="false" ht="13.8" hidden="false" customHeight="false" outlineLevel="0" collapsed="false">
      <c r="A6" s="2" t="n">
        <v>5</v>
      </c>
      <c r="B6" s="2" t="s">
        <v>14</v>
      </c>
      <c r="C6" s="2" t="n">
        <v>1141130</v>
      </c>
      <c r="D6" s="3" t="n">
        <v>228226</v>
      </c>
      <c r="E6" s="2" t="s">
        <v>15</v>
      </c>
      <c r="G6" s="0" t="n">
        <f aca="false">+D6/1.18</f>
        <v>193411.86440678</v>
      </c>
      <c r="H6" s="0" t="n">
        <f aca="false">+G6*18%</f>
        <v>34814.1355932203</v>
      </c>
      <c r="I6" s="0" t="n">
        <f aca="false">+G6+H6</f>
        <v>228226</v>
      </c>
    </row>
    <row r="7" customFormat="false" ht="13.8" hidden="false" customHeight="false" outlineLevel="0" collapsed="false">
      <c r="A7" s="2" t="n">
        <v>6</v>
      </c>
      <c r="B7" s="2" t="s">
        <v>16</v>
      </c>
      <c r="C7" s="2" t="n">
        <v>1141130</v>
      </c>
      <c r="D7" s="3" t="n">
        <v>228226</v>
      </c>
      <c r="E7" s="2" t="s">
        <v>15</v>
      </c>
      <c r="G7" s="0" t="n">
        <f aca="false">+D7/1.18</f>
        <v>193411.86440678</v>
      </c>
      <c r="H7" s="0" t="n">
        <f aca="false">+G7*18%</f>
        <v>34814.1355932203</v>
      </c>
      <c r="I7" s="0" t="n">
        <f aca="false">+G7+H7</f>
        <v>228226</v>
      </c>
    </row>
    <row r="8" customFormat="false" ht="13.8" hidden="false" customHeight="false" outlineLevel="0" collapsed="false">
      <c r="A8" s="2" t="n">
        <v>7</v>
      </c>
      <c r="B8" s="2" t="s">
        <v>17</v>
      </c>
      <c r="C8" s="2" t="n">
        <v>1141130</v>
      </c>
      <c r="D8" s="3" t="n">
        <v>228226</v>
      </c>
      <c r="E8" s="2" t="s">
        <v>15</v>
      </c>
      <c r="G8" s="0" t="n">
        <f aca="false">+D8/1.18</f>
        <v>193411.86440678</v>
      </c>
      <c r="H8" s="0" t="n">
        <f aca="false">+G8*18%</f>
        <v>34814.1355932203</v>
      </c>
      <c r="I8" s="0" t="n">
        <f aca="false">+G8+H8</f>
        <v>228226</v>
      </c>
    </row>
    <row r="9" customFormat="false" ht="13.8" hidden="false" customHeight="false" outlineLevel="0" collapsed="false">
      <c r="A9" s="2" t="n">
        <v>8</v>
      </c>
      <c r="B9" s="2" t="s">
        <v>18</v>
      </c>
      <c r="C9" s="2" t="n">
        <v>1141130</v>
      </c>
      <c r="D9" s="3" t="n">
        <v>228226</v>
      </c>
      <c r="E9" s="2" t="s">
        <v>15</v>
      </c>
      <c r="G9" s="0" t="n">
        <f aca="false">+D9/1.18</f>
        <v>193411.86440678</v>
      </c>
      <c r="H9" s="0" t="n">
        <f aca="false">+G9*18%</f>
        <v>34814.1355932203</v>
      </c>
      <c r="I9" s="0" t="n">
        <f aca="false">+G9+H9</f>
        <v>228226</v>
      </c>
    </row>
    <row r="10" customFormat="false" ht="15" hidden="false" customHeight="false" outlineLevel="0" collapsed="false">
      <c r="A10" s="2"/>
      <c r="B10" s="1" t="s">
        <v>19</v>
      </c>
      <c r="C10" s="2"/>
      <c r="D10" s="4" t="n">
        <f aca="false">SUM(D2:D9)</f>
        <v>2819166</v>
      </c>
      <c r="E10" s="2"/>
    </row>
    <row r="11" customFormat="false" ht="15" hidden="false" customHeight="true" outlineLevel="0" collapsed="false">
      <c r="A11" s="5" t="s">
        <v>20</v>
      </c>
      <c r="B11" s="5"/>
      <c r="C11" s="5"/>
      <c r="D11" s="5"/>
      <c r="E11" s="5"/>
    </row>
    <row r="12" customFormat="false" ht="15" hidden="false" customHeight="false" outlineLevel="0" collapsed="false">
      <c r="A12" s="5"/>
      <c r="B12" s="5"/>
      <c r="C12" s="5"/>
      <c r="D12" s="5"/>
      <c r="E12" s="5"/>
    </row>
    <row r="13" customFormat="false" ht="15" hidden="false" customHeight="false" outlineLevel="0" collapsed="false">
      <c r="A13" s="5"/>
      <c r="B13" s="5"/>
      <c r="C13" s="5"/>
      <c r="D13" s="5"/>
      <c r="E13" s="5"/>
    </row>
  </sheetData>
  <mergeCells count="1">
    <mergeCell ref="A11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2026-02-17T07:47:50Z</dcterms:created>
  <dc:creator>Satya Roy</dc:creator>
  <dc:description/>
  <dc:language>en-IN</dc:language>
  <cp:lastModifiedBy/>
  <dcterms:modified xsi:type="dcterms:W3CDTF">2026-02-17T15:54:43Z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